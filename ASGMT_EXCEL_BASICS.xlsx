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820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88" i="1"/>
  <c r="I89"/>
  <c r="I83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4"/>
  <c r="I85"/>
  <c r="I86"/>
  <c r="I87"/>
  <c r="I90"/>
  <c r="I91"/>
  <c r="I92"/>
  <c r="I93"/>
  <c r="I94"/>
  <c r="I95"/>
  <c r="I96"/>
  <c r="I97"/>
  <c r="I98"/>
  <c r="I99"/>
  <c r="I100"/>
  <c r="I101"/>
  <c r="I52"/>
  <c r="B112" s="1"/>
  <c r="B107"/>
  <c r="E34"/>
  <c r="F43"/>
  <c r="E33"/>
</calcChain>
</file>

<file path=xl/sharedStrings.xml><?xml version="1.0" encoding="utf-8"?>
<sst xmlns="http://schemas.openxmlformats.org/spreadsheetml/2006/main" count="194" uniqueCount="103">
  <si>
    <t>Bicycle</t>
  </si>
  <si>
    <t>Car</t>
  </si>
  <si>
    <t>Vehicle</t>
  </si>
  <si>
    <t>Price</t>
  </si>
  <si>
    <t>Auto-Ricksaw</t>
  </si>
  <si>
    <t>ITEM</t>
  </si>
  <si>
    <t>PRICE</t>
  </si>
  <si>
    <t>SALES</t>
  </si>
  <si>
    <t>Item A</t>
  </si>
  <si>
    <t>Item C</t>
  </si>
  <si>
    <t>Item B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</si>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</sst>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C000"/>
      <name val="Algerian"/>
      <family val="5"/>
    </font>
    <font>
      <b/>
      <sz val="11"/>
      <color theme="1"/>
      <name val="Algerian"/>
      <family val="5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Fo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AngAx val="1"/>
    </c:view3D>
    <c:plotArea>
      <c:layout>
        <c:manualLayout>
          <c:layoutTarget val="inner"/>
          <c:xMode val="edge"/>
          <c:yMode val="edge"/>
          <c:x val="6.5036477624068445E-2"/>
          <c:y val="4.8946732898057163E-2"/>
          <c:w val="0.93496356955380577"/>
          <c:h val="0.7853752991619849"/>
        </c:manualLayout>
      </c:layout>
      <c:bar3DChart>
        <c:barDir val="col"/>
        <c:grouping val="stacked"/>
        <c:ser>
          <c:idx val="0"/>
          <c:order val="0"/>
          <c:cat>
            <c:numRef>
              <c:f>Sheet1!$H$52:$H$101</c:f>
              <c:numCache>
                <c:formatCode>General</c:formatCode>
                <c:ptCount val="50"/>
              </c:numCache>
            </c:numRef>
          </c:cat>
          <c:val>
            <c:numRef>
              <c:f>Sheet1!$I$52:$I$101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shape val="box"/>
        <c:axId val="146487552"/>
        <c:axId val="147754368"/>
        <c:axId val="0"/>
      </c:bar3DChart>
      <c:catAx>
        <c:axId val="146487552"/>
        <c:scaling>
          <c:orientation val="minMax"/>
        </c:scaling>
        <c:axPos val="b"/>
        <c:numFmt formatCode="General" sourceLinked="1"/>
        <c:tickLblPos val="nextTo"/>
        <c:crossAx val="147754368"/>
        <c:crosses val="autoZero"/>
        <c:auto val="1"/>
        <c:lblAlgn val="ctr"/>
        <c:lblOffset val="100"/>
      </c:catAx>
      <c:valAx>
        <c:axId val="147754368"/>
        <c:scaling>
          <c:orientation val="minMax"/>
        </c:scaling>
        <c:axPos val="l"/>
        <c:majorGridlines/>
        <c:numFmt formatCode="General" sourceLinked="1"/>
        <c:tickLblPos val="nextTo"/>
        <c:crossAx val="14648755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5"/>
  <c:chart>
    <c:title>
      <c:tx>
        <c:rich>
          <a:bodyPr/>
          <a:lstStyle/>
          <a:p>
            <a:pPr>
              <a:defRPr>
                <a:latin typeface="Algerian" pitchFamily="82" charset="0"/>
              </a:defRPr>
            </a:pPr>
            <a:r>
              <a:rPr lang="en-US">
                <a:solidFill>
                  <a:schemeClr val="accent6">
                    <a:lumMod val="75000"/>
                  </a:schemeClr>
                </a:solidFill>
                <a:latin typeface="Algerian" pitchFamily="82" charset="0"/>
              </a:rPr>
              <a:t>DAILY</a:t>
            </a:r>
            <a:r>
              <a:rPr lang="en-US" baseline="0">
                <a:solidFill>
                  <a:schemeClr val="accent6">
                    <a:lumMod val="75000"/>
                  </a:schemeClr>
                </a:solidFill>
                <a:latin typeface="Algerian" pitchFamily="82" charset="0"/>
              </a:rPr>
              <a:t> SALES TREND</a:t>
            </a:r>
            <a:endParaRPr lang="en-US">
              <a:solidFill>
                <a:schemeClr val="accent6">
                  <a:lumMod val="75000"/>
                </a:schemeClr>
              </a:solidFill>
              <a:latin typeface="Algerian" pitchFamily="82" charset="0"/>
            </a:endParaRPr>
          </a:p>
        </c:rich>
      </c:tx>
      <c:layout/>
    </c:title>
    <c:plotArea>
      <c:layout/>
      <c:lineChart>
        <c:grouping val="stacked"/>
        <c:ser>
          <c:idx val="0"/>
          <c:order val="0"/>
          <c:marker>
            <c:symbol val="none"/>
          </c:marker>
          <c:cat>
            <c:strRef>
              <c:f>Sheet1!$G$52:$G$101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Sheet1!$H$52:$H$101</c:f>
              <c:numCache>
                <c:formatCode>General</c:formatCode>
                <c:ptCount val="50"/>
              </c:numCache>
            </c:numRef>
          </c:val>
        </c:ser>
        <c:ser>
          <c:idx val="1"/>
          <c:order val="1"/>
          <c:marker>
            <c:symbol val="none"/>
          </c:marker>
          <c:cat>
            <c:strRef>
              <c:f>Sheet1!$G$52:$G$101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Sheet1!$I$52:$I$101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</c:ser>
        <c:dLbls/>
        <c:marker val="1"/>
        <c:axId val="152332160"/>
        <c:axId val="152358912"/>
      </c:lineChart>
      <c:catAx>
        <c:axId val="152332160"/>
        <c:scaling>
          <c:orientation val="minMax"/>
        </c:scaling>
        <c:axPos val="b"/>
        <c:majorTickMark val="none"/>
        <c:tickLblPos val="nextTo"/>
        <c:crossAx val="152358912"/>
        <c:crosses val="autoZero"/>
        <c:auto val="1"/>
        <c:lblAlgn val="ctr"/>
        <c:lblOffset val="100"/>
      </c:catAx>
      <c:valAx>
        <c:axId val="15235891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 b="1">
                    <a:latin typeface="Algerian" pitchFamily="82" charset="0"/>
                  </a:rPr>
                  <a:t>sales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5233216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28575</xdr:rowOff>
    </xdr:from>
    <xdr:to>
      <xdr:col>11</xdr:col>
      <xdr:colOff>19050</xdr:colOff>
      <xdr:row>25</xdr:row>
      <xdr:rowOff>180975</xdr:rowOff>
    </xdr:to>
    <xdr:sp macro="" textlink="">
      <xdr:nvSpPr>
        <xdr:cNvPr id="2" name="TextBox 1"/>
        <xdr:cNvSpPr txBox="1"/>
      </xdr:nvSpPr>
      <xdr:spPr>
        <a:xfrm>
          <a:off x="9525" y="28575"/>
          <a:ext cx="6715125" cy="4914900"/>
        </a:xfrm>
        <a:prstGeom prst="rect">
          <a:avLst/>
        </a:prstGeom>
        <a:solidFill>
          <a:schemeClr val="lt1"/>
        </a:solidFill>
        <a:ln w="76200" cmpd="tri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2400" b="1">
              <a:solidFill>
                <a:schemeClr val="accent6">
                  <a:lumMod val="75000"/>
                </a:schemeClr>
              </a:solidFill>
              <a:effectLst>
                <a:glow rad="228600">
                  <a:schemeClr val="accent5">
                    <a:satMod val="175000"/>
                    <a:alpha val="40000"/>
                  </a:schemeClr>
                </a:glow>
              </a:effectLst>
              <a:latin typeface="Algerian" pitchFamily="82" charset="0"/>
              <a:ea typeface="+mn-ea"/>
              <a:cs typeface="+mn-cs"/>
            </a:rPr>
            <a:t>ASSIGNMENT:  EXCEL BASICS </a:t>
          </a:r>
        </a:p>
        <a:p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1.  Explain the difference between Relative , Absolute and Mixed Cell Referencing.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Ans: 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Relative Reference (A1)- Changes when copied to another cell.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Adjusts row/column based on new location.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Example: =A1 in B1 → copy to C2 → =B2.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 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Absolute Reference ($A$1)- Stays fixed no matter where copied. 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Locks both row and column.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Example: =$A$1 in B1 → copy to C2 → =$A$1.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 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Mixed Reference ($A1 or A$1)- Locks either row or column.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$A1: Column A fixed, row changes.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A$1: Row 1 fixed, column changes.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Example: =$A1 in B1 → copy to C2 → =$A2.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 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Quick use-cases: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Relative: Copy formulas across similar data.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Absolute: Fixed values (tax %, constants).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effectLst>
                <a:glow rad="101600">
                  <a:schemeClr val="accent2">
                    <a:satMod val="175000"/>
                    <a:alpha val="40000"/>
                  </a:schemeClr>
                </a:glow>
              </a:effectLst>
              <a:latin typeface="Bahnschrift" pitchFamily="34" charset="0"/>
              <a:ea typeface="+mn-ea"/>
              <a:cs typeface="+mn-cs"/>
            </a:rPr>
            <a:t>- Mixed: Lock part while copying (summing with fixed column/row).</a:t>
          </a:r>
          <a:endParaRPr lang="en-US" sz="1100" b="1" i="0">
            <a:solidFill>
              <a:schemeClr val="dk1"/>
            </a:solidFill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latin typeface="Bahnschrift" pitchFamily="34" charset="0"/>
            <a:ea typeface="+mn-ea"/>
            <a:cs typeface="+mn-cs"/>
          </a:endParaRPr>
        </a:p>
        <a:p>
          <a:r>
            <a:rPr lang="en-US" sz="1200" b="1" i="0">
              <a:solidFill>
                <a:schemeClr val="dk1"/>
              </a:solidFill>
              <a:latin typeface="Bahnschrift" pitchFamily="34" charset="0"/>
              <a:ea typeface="+mn-ea"/>
              <a:cs typeface="+mn-cs"/>
            </a:rPr>
            <a:t> </a:t>
          </a:r>
        </a:p>
        <a:p>
          <a:pPr lvl="1"/>
          <a:endParaRPr lang="en-US" sz="1100"/>
        </a:p>
      </xdr:txBody>
    </xdr:sp>
    <xdr:clientData/>
  </xdr:twoCellAnchor>
  <xdr:oneCellAnchor>
    <xdr:from>
      <xdr:col>5</xdr:col>
      <xdr:colOff>114300</xdr:colOff>
      <xdr:row>36</xdr:row>
      <xdr:rowOff>180975</xdr:rowOff>
    </xdr:from>
    <xdr:ext cx="184731" cy="264560"/>
    <xdr:sp macro="" textlink="">
      <xdr:nvSpPr>
        <xdr:cNvPr id="3" name="TextBox 2"/>
        <xdr:cNvSpPr txBox="1"/>
      </xdr:nvSpPr>
      <xdr:spPr>
        <a:xfrm>
          <a:off x="3162300" y="7038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0</xdr:colOff>
      <xdr:row>27</xdr:row>
      <xdr:rowOff>9524</xdr:rowOff>
    </xdr:from>
    <xdr:to>
      <xdr:col>10</xdr:col>
      <xdr:colOff>590550</xdr:colOff>
      <xdr:row>28</xdr:row>
      <xdr:rowOff>190499</xdr:rowOff>
    </xdr:to>
    <xdr:sp macro="" textlink="">
      <xdr:nvSpPr>
        <xdr:cNvPr id="6" name="TextBox 5"/>
        <xdr:cNvSpPr txBox="1"/>
      </xdr:nvSpPr>
      <xdr:spPr>
        <a:xfrm>
          <a:off x="0" y="5153024"/>
          <a:ext cx="66865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Bahnschrift" pitchFamily="34" charset="0"/>
            </a:rPr>
            <a:t>2. </a:t>
          </a:r>
          <a:r>
            <a:rPr lang="en-US" sz="1100" b="1" baseline="0">
              <a:latin typeface="Bahnschrift" pitchFamily="34" charset="0"/>
            </a:rPr>
            <a:t> </a:t>
          </a:r>
          <a:r>
            <a:rPr lang="en-US" sz="1100" b="1">
              <a:latin typeface="Bahnschrift" pitchFamily="34" charset="0"/>
            </a:rPr>
            <a:t>Write a formula to calculate the total sales of car and bicycle only.</a:t>
          </a:r>
        </a:p>
      </xdr:txBody>
    </xdr:sp>
    <xdr:clientData/>
  </xdr:twoCellAnchor>
  <xdr:twoCellAnchor>
    <xdr:from>
      <xdr:col>6</xdr:col>
      <xdr:colOff>9525</xdr:colOff>
      <xdr:row>32</xdr:row>
      <xdr:rowOff>9525</xdr:rowOff>
    </xdr:from>
    <xdr:to>
      <xdr:col>11</xdr:col>
      <xdr:colOff>0</xdr:colOff>
      <xdr:row>34</xdr:row>
      <xdr:rowOff>0</xdr:rowOff>
    </xdr:to>
    <xdr:sp macro="" textlink="">
      <xdr:nvSpPr>
        <xdr:cNvPr id="8" name="TextBox 7"/>
        <xdr:cNvSpPr txBox="1"/>
      </xdr:nvSpPr>
      <xdr:spPr>
        <a:xfrm>
          <a:off x="4238625" y="6134100"/>
          <a:ext cx="3038475" cy="3905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>
              <a:solidFill>
                <a:schemeClr val="accent2">
                  <a:lumMod val="75000"/>
                </a:schemeClr>
              </a:solidFill>
            </a:rPr>
            <a:t>Ans</a:t>
          </a:r>
          <a:r>
            <a:rPr lang="en-US" sz="1400" b="1" baseline="0">
              <a:solidFill>
                <a:schemeClr val="accent2">
                  <a:lumMod val="75000"/>
                </a:schemeClr>
              </a:solidFill>
            </a:rPr>
            <a:t> :  =C33+C34 or =SUM(C33,C34)</a:t>
          </a:r>
        </a:p>
        <a:p>
          <a:endParaRPr lang="en-US" sz="1400" b="1" baseline="0">
            <a:solidFill>
              <a:schemeClr val="accent2">
                <a:lumMod val="75000"/>
              </a:schemeClr>
            </a:solidFill>
          </a:endParaRPr>
        </a:p>
        <a:p>
          <a:endParaRPr lang="en-US" sz="1100" baseline="0"/>
        </a:p>
      </xdr:txBody>
    </xdr:sp>
    <xdr:clientData/>
  </xdr:twoCellAnchor>
  <xdr:twoCellAnchor>
    <xdr:from>
      <xdr:col>0</xdr:col>
      <xdr:colOff>0</xdr:colOff>
      <xdr:row>37</xdr:row>
      <xdr:rowOff>9525</xdr:rowOff>
    </xdr:from>
    <xdr:to>
      <xdr:col>11</xdr:col>
      <xdr:colOff>0</xdr:colOff>
      <xdr:row>39</xdr:row>
      <xdr:rowOff>0</xdr:rowOff>
    </xdr:to>
    <xdr:sp macro="" textlink="">
      <xdr:nvSpPr>
        <xdr:cNvPr id="9" name="TextBox 8"/>
        <xdr:cNvSpPr txBox="1"/>
      </xdr:nvSpPr>
      <xdr:spPr>
        <a:xfrm>
          <a:off x="0" y="7115175"/>
          <a:ext cx="72771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Bahnschrift" pitchFamily="34" charset="0"/>
            </a:rPr>
            <a:t>3. Using</a:t>
          </a:r>
          <a:r>
            <a:rPr lang="en-US" sz="1100" b="1" baseline="0">
              <a:latin typeface="Bahnschrift" pitchFamily="34" charset="0"/>
            </a:rPr>
            <a:t> the data below, write a formula to calculate the average sales of items priced above 100 but less than 300:</a:t>
          </a:r>
          <a:endParaRPr lang="en-US" sz="1100" b="1">
            <a:latin typeface="Bahnschrift" pitchFamily="34" charset="0"/>
          </a:endParaRPr>
        </a:p>
      </xdr:txBody>
    </xdr:sp>
    <xdr:clientData/>
  </xdr:twoCellAnchor>
  <xdr:twoCellAnchor>
    <xdr:from>
      <xdr:col>6</xdr:col>
      <xdr:colOff>600076</xdr:colOff>
      <xdr:row>42</xdr:row>
      <xdr:rowOff>19050</xdr:rowOff>
    </xdr:from>
    <xdr:to>
      <xdr:col>12</xdr:col>
      <xdr:colOff>9526</xdr:colOff>
      <xdr:row>46</xdr:row>
      <xdr:rowOff>9525</xdr:rowOff>
    </xdr:to>
    <xdr:sp macro="" textlink="">
      <xdr:nvSpPr>
        <xdr:cNvPr id="10" name="TextBox 9"/>
        <xdr:cNvSpPr txBox="1"/>
      </xdr:nvSpPr>
      <xdr:spPr>
        <a:xfrm>
          <a:off x="5715001" y="8086725"/>
          <a:ext cx="334327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Ans: =AVERAGEIFS(D43:D45, C43:C45, "&gt;100", C43:C45, "&lt;300")</a:t>
          </a:r>
        </a:p>
      </xdr:txBody>
    </xdr:sp>
    <xdr:clientData/>
  </xdr:twoCellAnchor>
  <xdr:twoCellAnchor>
    <xdr:from>
      <xdr:col>0</xdr:col>
      <xdr:colOff>600075</xdr:colOff>
      <xdr:row>47</xdr:row>
      <xdr:rowOff>9526</xdr:rowOff>
    </xdr:from>
    <xdr:to>
      <xdr:col>5</xdr:col>
      <xdr:colOff>9525</xdr:colOff>
      <xdr:row>49</xdr:row>
      <xdr:rowOff>9526</xdr:rowOff>
    </xdr:to>
    <xdr:sp macro="" textlink="">
      <xdr:nvSpPr>
        <xdr:cNvPr id="11" name="TextBox 10"/>
        <xdr:cNvSpPr txBox="1"/>
      </xdr:nvSpPr>
      <xdr:spPr>
        <a:xfrm>
          <a:off x="600075" y="9058276"/>
          <a:ext cx="30289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FOLLOWING SALES</a:t>
          </a:r>
          <a:r>
            <a:rPr lang="en-US" sz="1200" b="1" baseline="0"/>
            <a:t> DATASET:</a:t>
          </a:r>
          <a:endParaRPr lang="en-US" sz="1200" b="1"/>
        </a:p>
      </xdr:txBody>
    </xdr:sp>
    <xdr:clientData/>
  </xdr:twoCellAnchor>
  <xdr:twoCellAnchor>
    <xdr:from>
      <xdr:col>0</xdr:col>
      <xdr:colOff>9525</xdr:colOff>
      <xdr:row>103</xdr:row>
      <xdr:rowOff>0</xdr:rowOff>
    </xdr:from>
    <xdr:to>
      <xdr:col>5</xdr:col>
      <xdr:colOff>9525</xdr:colOff>
      <xdr:row>105</xdr:row>
      <xdr:rowOff>0</xdr:rowOff>
    </xdr:to>
    <xdr:sp macro="" textlink="">
      <xdr:nvSpPr>
        <xdr:cNvPr id="12" name="TextBox 11"/>
        <xdr:cNvSpPr txBox="1"/>
      </xdr:nvSpPr>
      <xdr:spPr>
        <a:xfrm>
          <a:off x="9525" y="21364575"/>
          <a:ext cx="50292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4. Count how many customer names are recorded.</a:t>
          </a:r>
        </a:p>
      </xdr:txBody>
    </xdr:sp>
    <xdr:clientData/>
  </xdr:twoCellAnchor>
  <xdr:twoCellAnchor>
    <xdr:from>
      <xdr:col>8</xdr:col>
      <xdr:colOff>9526</xdr:colOff>
      <xdr:row>49</xdr:row>
      <xdr:rowOff>209549</xdr:rowOff>
    </xdr:from>
    <xdr:to>
      <xdr:col>15</xdr:col>
      <xdr:colOff>9526</xdr:colOff>
      <xdr:row>51</xdr:row>
      <xdr:rowOff>0</xdr:rowOff>
    </xdr:to>
    <xdr:sp macro="" textlink="">
      <xdr:nvSpPr>
        <xdr:cNvPr id="13" name="TextBox 12"/>
        <xdr:cNvSpPr txBox="1"/>
      </xdr:nvSpPr>
      <xdr:spPr>
        <a:xfrm>
          <a:off x="7419976" y="9639299"/>
          <a:ext cx="4267200" cy="381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5. Calculate the Total Sales for each row using a formula.</a:t>
          </a:r>
        </a:p>
      </xdr:txBody>
    </xdr:sp>
    <xdr:clientData/>
  </xdr:twoCellAnchor>
  <xdr:twoCellAnchor>
    <xdr:from>
      <xdr:col>0</xdr:col>
      <xdr:colOff>0</xdr:colOff>
      <xdr:row>108</xdr:row>
      <xdr:rowOff>9526</xdr:rowOff>
    </xdr:from>
    <xdr:to>
      <xdr:col>5</xdr:col>
      <xdr:colOff>0</xdr:colOff>
      <xdr:row>109</xdr:row>
      <xdr:rowOff>180976</xdr:rowOff>
    </xdr:to>
    <xdr:sp macro="" textlink="">
      <xdr:nvSpPr>
        <xdr:cNvPr id="14" name="TextBox 13"/>
        <xdr:cNvSpPr txBox="1"/>
      </xdr:nvSpPr>
      <xdr:spPr>
        <a:xfrm>
          <a:off x="0" y="22326601"/>
          <a:ext cx="440055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6. Calculate the total sales of Notebooks in the North region only.</a:t>
          </a:r>
        </a:p>
      </xdr:txBody>
    </xdr:sp>
    <xdr:clientData/>
  </xdr:twoCellAnchor>
  <xdr:twoCellAnchor>
    <xdr:from>
      <xdr:col>0</xdr:col>
      <xdr:colOff>0</xdr:colOff>
      <xdr:row>114</xdr:row>
      <xdr:rowOff>0</xdr:rowOff>
    </xdr:from>
    <xdr:to>
      <xdr:col>4</xdr:col>
      <xdr:colOff>809624</xdr:colOff>
      <xdr:row>116</xdr:row>
      <xdr:rowOff>0</xdr:rowOff>
    </xdr:to>
    <xdr:sp macro="" textlink="">
      <xdr:nvSpPr>
        <xdr:cNvPr id="15" name="TextBox 14"/>
        <xdr:cNvSpPr txBox="1"/>
      </xdr:nvSpPr>
      <xdr:spPr>
        <a:xfrm>
          <a:off x="0" y="23460075"/>
          <a:ext cx="4391024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7. Create a column chart showing total sales by product.</a:t>
          </a:r>
        </a:p>
      </xdr:txBody>
    </xdr:sp>
    <xdr:clientData/>
  </xdr:twoCellAnchor>
  <xdr:twoCellAnchor>
    <xdr:from>
      <xdr:col>0</xdr:col>
      <xdr:colOff>28575</xdr:colOff>
      <xdr:row>116</xdr:row>
      <xdr:rowOff>190499</xdr:rowOff>
    </xdr:from>
    <xdr:to>
      <xdr:col>15</xdr:col>
      <xdr:colOff>0</xdr:colOff>
      <xdr:row>141</xdr:row>
      <xdr:rowOff>9525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866775</xdr:colOff>
      <xdr:row>144</xdr:row>
      <xdr:rowOff>0</xdr:rowOff>
    </xdr:from>
    <xdr:to>
      <xdr:col>10</xdr:col>
      <xdr:colOff>590551</xdr:colOff>
      <xdr:row>146</xdr:row>
      <xdr:rowOff>38100</xdr:rowOff>
    </xdr:to>
    <xdr:sp macro="" textlink="">
      <xdr:nvSpPr>
        <xdr:cNvPr id="18" name="TextBox 17"/>
        <xdr:cNvSpPr txBox="1"/>
      </xdr:nvSpPr>
      <xdr:spPr>
        <a:xfrm>
          <a:off x="3562350" y="29175075"/>
          <a:ext cx="5076826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2000" b="1">
              <a:solidFill>
                <a:srgbClr val="FFFF00"/>
              </a:solidFill>
            </a:rPr>
            <a:t>TOTAL</a:t>
          </a:r>
          <a:r>
            <a:rPr lang="en-US" sz="2000" b="1" baseline="0">
              <a:solidFill>
                <a:srgbClr val="FFFF00"/>
              </a:solidFill>
            </a:rPr>
            <a:t> SALES BY PRODUCT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  <xdr:twoCellAnchor>
    <xdr:from>
      <xdr:col>0</xdr:col>
      <xdr:colOff>0</xdr:colOff>
      <xdr:row>147</xdr:row>
      <xdr:rowOff>180975</xdr:rowOff>
    </xdr:from>
    <xdr:to>
      <xdr:col>5</xdr:col>
      <xdr:colOff>19050</xdr:colOff>
      <xdr:row>150</xdr:row>
      <xdr:rowOff>19050</xdr:rowOff>
    </xdr:to>
    <xdr:sp macro="" textlink="">
      <xdr:nvSpPr>
        <xdr:cNvPr id="19" name="TextBox 18"/>
        <xdr:cNvSpPr txBox="1"/>
      </xdr:nvSpPr>
      <xdr:spPr>
        <a:xfrm>
          <a:off x="0" y="29927550"/>
          <a:ext cx="441960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8.Insert a line chart showing daily sales trend.</a:t>
          </a:r>
        </a:p>
      </xdr:txBody>
    </xdr:sp>
    <xdr:clientData/>
  </xdr:twoCellAnchor>
  <xdr:twoCellAnchor>
    <xdr:from>
      <xdr:col>0</xdr:col>
      <xdr:colOff>9525</xdr:colOff>
      <xdr:row>152</xdr:row>
      <xdr:rowOff>9525</xdr:rowOff>
    </xdr:from>
    <xdr:to>
      <xdr:col>16</xdr:col>
      <xdr:colOff>9525</xdr:colOff>
      <xdr:row>167</xdr:row>
      <xdr:rowOff>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1:I112"/>
  <sheetViews>
    <sheetView tabSelected="1" topLeftCell="A145" workbookViewId="0">
      <selection activeCell="K150" sqref="K150"/>
    </sheetView>
  </sheetViews>
  <sheetFormatPr defaultRowHeight="15"/>
  <cols>
    <col min="1" max="1" width="12.85546875" customWidth="1"/>
    <col min="2" max="2" width="14.85546875" customWidth="1"/>
    <col min="3" max="3" width="12.7109375" customWidth="1"/>
    <col min="4" max="4" width="13.28515625" customWidth="1"/>
    <col min="5" max="5" width="12.28515625" customWidth="1"/>
    <col min="6" max="6" width="10.7109375" customWidth="1"/>
    <col min="7" max="7" width="13.28515625" customWidth="1"/>
    <col min="8" max="8" width="12.42578125" customWidth="1"/>
  </cols>
  <sheetData>
    <row r="31" spans="1:4" ht="17.25">
      <c r="A31" s="1"/>
      <c r="B31" s="3" t="s">
        <v>2</v>
      </c>
      <c r="C31" s="3" t="s">
        <v>3</v>
      </c>
      <c r="D31" s="1"/>
    </row>
    <row r="32" spans="1:4">
      <c r="A32" s="1"/>
      <c r="B32" s="1"/>
      <c r="C32" s="1"/>
      <c r="D32" s="1"/>
    </row>
    <row r="33" spans="1:6" ht="15.75">
      <c r="A33" s="1"/>
      <c r="B33" s="2" t="s">
        <v>1</v>
      </c>
      <c r="C33" s="2">
        <v>500000</v>
      </c>
      <c r="D33" s="1"/>
      <c r="E33">
        <f>C33+C34</f>
        <v>510500</v>
      </c>
    </row>
    <row r="34" spans="1:6" ht="15.75">
      <c r="A34" s="1"/>
      <c r="B34" s="2" t="s">
        <v>0</v>
      </c>
      <c r="C34" s="2">
        <v>10500</v>
      </c>
      <c r="D34" s="1"/>
      <c r="E34">
        <f>SUM(C33,C34)</f>
        <v>510500</v>
      </c>
    </row>
    <row r="35" spans="1:6" ht="15.75">
      <c r="A35" s="1"/>
      <c r="B35" s="2" t="s">
        <v>4</v>
      </c>
      <c r="C35" s="2">
        <v>25000</v>
      </c>
      <c r="D35" s="1"/>
    </row>
    <row r="36" spans="1:6">
      <c r="A36" s="1"/>
      <c r="B36" s="1"/>
      <c r="C36" s="1"/>
      <c r="D36" s="1"/>
    </row>
    <row r="41" spans="1:6" ht="15.75">
      <c r="B41" s="4" t="s">
        <v>5</v>
      </c>
      <c r="C41" s="4" t="s">
        <v>6</v>
      </c>
      <c r="D41" s="4" t="s">
        <v>7</v>
      </c>
    </row>
    <row r="43" spans="1:6" ht="15.75">
      <c r="B43" s="5" t="s">
        <v>8</v>
      </c>
      <c r="C43" s="5">
        <v>90</v>
      </c>
      <c r="D43" s="5">
        <v>1000</v>
      </c>
      <c r="F43" s="6">
        <f>AVERAGEIFS(D43:D45, C43:C45, "&gt;100", C43:C45, "&lt;300")</f>
        <v>1350</v>
      </c>
    </row>
    <row r="44" spans="1:6" ht="15.75">
      <c r="B44" s="5" t="s">
        <v>10</v>
      </c>
      <c r="C44" s="5">
        <v>150</v>
      </c>
      <c r="D44" s="5">
        <v>1200</v>
      </c>
    </row>
    <row r="45" spans="1:6" ht="15.75">
      <c r="B45" s="5" t="s">
        <v>9</v>
      </c>
      <c r="C45" s="5">
        <v>250</v>
      </c>
      <c r="D45" s="5">
        <v>1500</v>
      </c>
    </row>
    <row r="50" spans="1:9" ht="17.25" customHeight="1" thickBot="1"/>
    <row r="51" spans="1:9" ht="29.25" customHeight="1" thickBot="1">
      <c r="A51" s="7" t="s">
        <v>11</v>
      </c>
      <c r="B51" s="7" t="s">
        <v>12</v>
      </c>
      <c r="C51" s="7" t="s">
        <v>13</v>
      </c>
      <c r="D51" s="7" t="s">
        <v>14</v>
      </c>
      <c r="E51" s="7" t="s">
        <v>15</v>
      </c>
      <c r="F51" s="7" t="s">
        <v>16</v>
      </c>
      <c r="G51" s="7" t="s">
        <v>17</v>
      </c>
    </row>
    <row r="52" spans="1:9" ht="18.75" customHeight="1" thickBot="1">
      <c r="A52" s="8">
        <v>1001</v>
      </c>
      <c r="B52" s="9" t="s">
        <v>18</v>
      </c>
      <c r="C52" s="9" t="s">
        <v>19</v>
      </c>
      <c r="D52" s="9" t="s">
        <v>20</v>
      </c>
      <c r="E52" s="8">
        <v>10</v>
      </c>
      <c r="F52" s="8">
        <v>50</v>
      </c>
      <c r="G52" s="10">
        <v>45413</v>
      </c>
      <c r="H52" s="9"/>
      <c r="I52">
        <f>E52*F52</f>
        <v>500</v>
      </c>
    </row>
    <row r="53" spans="1:9" ht="15.75" thickBot="1">
      <c r="A53" s="8">
        <v>1002</v>
      </c>
      <c r="B53" s="9" t="s">
        <v>21</v>
      </c>
      <c r="C53" s="9" t="s">
        <v>22</v>
      </c>
      <c r="D53" s="9" t="s">
        <v>23</v>
      </c>
      <c r="E53" s="8">
        <v>20</v>
      </c>
      <c r="F53" s="8">
        <v>10</v>
      </c>
      <c r="G53" s="10">
        <v>45444</v>
      </c>
      <c r="H53" s="9"/>
      <c r="I53">
        <f>E53*F53</f>
        <v>200</v>
      </c>
    </row>
    <row r="54" spans="1:9" ht="15" customHeight="1" thickBot="1">
      <c r="A54" s="8">
        <v>1003</v>
      </c>
      <c r="B54" s="9" t="s">
        <v>24</v>
      </c>
      <c r="C54" s="9" t="s">
        <v>25</v>
      </c>
      <c r="D54" s="9" t="s">
        <v>26</v>
      </c>
      <c r="E54" s="8">
        <v>15</v>
      </c>
      <c r="F54" s="8">
        <v>25</v>
      </c>
      <c r="G54" s="10">
        <v>45474</v>
      </c>
      <c r="H54" s="9"/>
      <c r="I54">
        <f>E54*F54</f>
        <v>375</v>
      </c>
    </row>
    <row r="55" spans="1:9" ht="18" customHeight="1" thickBot="1">
      <c r="A55" s="8">
        <v>1004</v>
      </c>
      <c r="B55" s="9" t="s">
        <v>27</v>
      </c>
      <c r="C55" s="9" t="s">
        <v>28</v>
      </c>
      <c r="D55" s="9" t="s">
        <v>20</v>
      </c>
      <c r="E55" s="8">
        <v>5</v>
      </c>
      <c r="F55" s="8">
        <v>50</v>
      </c>
      <c r="G55" s="10">
        <v>45505</v>
      </c>
      <c r="H55" s="9"/>
      <c r="I55">
        <f>E55*F55</f>
        <v>250</v>
      </c>
    </row>
    <row r="56" spans="1:9" ht="15.75" thickBot="1">
      <c r="A56" s="8">
        <v>1005</v>
      </c>
      <c r="B56" s="9" t="s">
        <v>29</v>
      </c>
      <c r="C56" s="9" t="s">
        <v>19</v>
      </c>
      <c r="D56" s="9" t="s">
        <v>30</v>
      </c>
      <c r="E56" s="8">
        <v>30</v>
      </c>
      <c r="F56" s="8">
        <v>5</v>
      </c>
      <c r="G56" s="10">
        <v>45566</v>
      </c>
      <c r="H56" s="9"/>
      <c r="I56">
        <f>E56*F56</f>
        <v>150</v>
      </c>
    </row>
    <row r="57" spans="1:9" ht="15.75" customHeight="1" thickBot="1">
      <c r="A57" s="8">
        <v>1006</v>
      </c>
      <c r="B57" s="9" t="s">
        <v>31</v>
      </c>
      <c r="C57" s="9" t="s">
        <v>22</v>
      </c>
      <c r="D57" s="9" t="s">
        <v>20</v>
      </c>
      <c r="E57" s="8">
        <v>12</v>
      </c>
      <c r="F57" s="8">
        <v>50</v>
      </c>
      <c r="G57" s="10">
        <v>45597</v>
      </c>
      <c r="H57" s="9"/>
      <c r="I57">
        <f>E57*F57</f>
        <v>600</v>
      </c>
    </row>
    <row r="58" spans="1:9" ht="15.75" customHeight="1" thickBot="1">
      <c r="A58" s="8">
        <v>1007</v>
      </c>
      <c r="B58" s="9" t="s">
        <v>32</v>
      </c>
      <c r="C58" s="9" t="s">
        <v>25</v>
      </c>
      <c r="D58" s="9" t="s">
        <v>33</v>
      </c>
      <c r="E58" s="8">
        <v>25</v>
      </c>
      <c r="F58" s="8">
        <v>8</v>
      </c>
      <c r="G58" s="8" t="s">
        <v>34</v>
      </c>
      <c r="H58" s="9"/>
      <c r="I58">
        <f>E58*F58</f>
        <v>200</v>
      </c>
    </row>
    <row r="59" spans="1:9" ht="18" customHeight="1" thickBot="1">
      <c r="A59" s="8">
        <v>1008</v>
      </c>
      <c r="B59" s="9" t="s">
        <v>35</v>
      </c>
      <c r="C59" s="9" t="s">
        <v>28</v>
      </c>
      <c r="D59" s="9" t="s">
        <v>23</v>
      </c>
      <c r="E59" s="8">
        <v>18</v>
      </c>
      <c r="F59" s="8">
        <v>10</v>
      </c>
      <c r="G59" s="8" t="s">
        <v>36</v>
      </c>
      <c r="H59" s="9"/>
      <c r="I59">
        <f>E59*F59</f>
        <v>180</v>
      </c>
    </row>
    <row r="60" spans="1:9" ht="18" customHeight="1" thickBot="1">
      <c r="A60" s="8">
        <v>1009</v>
      </c>
      <c r="B60" s="9" t="s">
        <v>37</v>
      </c>
      <c r="C60" s="9" t="s">
        <v>19</v>
      </c>
      <c r="D60" s="9" t="s">
        <v>26</v>
      </c>
      <c r="E60" s="8">
        <v>22</v>
      </c>
      <c r="F60" s="8">
        <v>25</v>
      </c>
      <c r="G60" s="8" t="s">
        <v>38</v>
      </c>
      <c r="H60" s="9"/>
      <c r="I60">
        <f>E60*F60</f>
        <v>550</v>
      </c>
    </row>
    <row r="61" spans="1:9" ht="16.5" customHeight="1" thickBot="1">
      <c r="A61" s="8">
        <v>1010</v>
      </c>
      <c r="B61" s="9" t="s">
        <v>39</v>
      </c>
      <c r="C61" s="9" t="s">
        <v>22</v>
      </c>
      <c r="D61" s="9" t="s">
        <v>20</v>
      </c>
      <c r="E61" s="8">
        <v>8</v>
      </c>
      <c r="F61" s="8">
        <v>50</v>
      </c>
      <c r="G61" s="8" t="s">
        <v>40</v>
      </c>
      <c r="H61" s="9"/>
      <c r="I61">
        <f>E61*F61</f>
        <v>400</v>
      </c>
    </row>
    <row r="62" spans="1:9" ht="16.5" customHeight="1" thickBot="1">
      <c r="A62" s="8">
        <v>1011</v>
      </c>
      <c r="B62" s="9" t="s">
        <v>41</v>
      </c>
      <c r="C62" s="9" t="s">
        <v>25</v>
      </c>
      <c r="D62" s="9" t="s">
        <v>30</v>
      </c>
      <c r="E62" s="8">
        <v>40</v>
      </c>
      <c r="F62" s="8">
        <v>5</v>
      </c>
      <c r="G62" s="8" t="s">
        <v>42</v>
      </c>
      <c r="H62" s="9"/>
      <c r="I62">
        <f>E62*F62</f>
        <v>200</v>
      </c>
    </row>
    <row r="63" spans="1:9" ht="17.25" customHeight="1" thickBot="1">
      <c r="A63" s="8">
        <v>1012</v>
      </c>
      <c r="B63" s="9" t="s">
        <v>43</v>
      </c>
      <c r="C63" s="9" t="s">
        <v>28</v>
      </c>
      <c r="D63" s="9" t="s">
        <v>33</v>
      </c>
      <c r="E63" s="8">
        <v>35</v>
      </c>
      <c r="F63" s="8">
        <v>8</v>
      </c>
      <c r="G63" s="8" t="s">
        <v>44</v>
      </c>
      <c r="H63" s="9"/>
      <c r="I63">
        <f>E63*F63</f>
        <v>280</v>
      </c>
    </row>
    <row r="64" spans="1:9" ht="17.25" customHeight="1" thickBot="1">
      <c r="A64" s="8">
        <v>1013</v>
      </c>
      <c r="B64" s="9" t="s">
        <v>45</v>
      </c>
      <c r="C64" s="9" t="s">
        <v>19</v>
      </c>
      <c r="D64" s="9" t="s">
        <v>20</v>
      </c>
      <c r="E64" s="8">
        <v>14</v>
      </c>
      <c r="F64" s="8">
        <v>50</v>
      </c>
      <c r="G64" s="8" t="s">
        <v>46</v>
      </c>
      <c r="H64" s="9"/>
      <c r="I64">
        <f>E64*F64</f>
        <v>700</v>
      </c>
    </row>
    <row r="65" spans="1:9" ht="19.5" customHeight="1" thickBot="1">
      <c r="A65" s="8">
        <v>1014</v>
      </c>
      <c r="B65" s="9" t="s">
        <v>47</v>
      </c>
      <c r="C65" s="9" t="s">
        <v>22</v>
      </c>
      <c r="D65" s="9" t="s">
        <v>23</v>
      </c>
      <c r="E65" s="8">
        <v>28</v>
      </c>
      <c r="F65" s="8">
        <v>10</v>
      </c>
      <c r="G65" s="8" t="s">
        <v>48</v>
      </c>
      <c r="H65" s="9"/>
      <c r="I65">
        <f>E65*F65</f>
        <v>280</v>
      </c>
    </row>
    <row r="66" spans="1:9" ht="18" customHeight="1" thickBot="1">
      <c r="A66" s="8">
        <v>1015</v>
      </c>
      <c r="B66" s="9" t="s">
        <v>49</v>
      </c>
      <c r="C66" s="9" t="s">
        <v>25</v>
      </c>
      <c r="D66" s="9" t="s">
        <v>26</v>
      </c>
      <c r="E66" s="8">
        <v>12</v>
      </c>
      <c r="F66" s="8">
        <v>25</v>
      </c>
      <c r="G66" s="8" t="s">
        <v>50</v>
      </c>
      <c r="H66" s="9"/>
      <c r="I66">
        <f>E66*F66</f>
        <v>300</v>
      </c>
    </row>
    <row r="67" spans="1:9" ht="18" customHeight="1" thickBot="1">
      <c r="A67" s="8">
        <v>1016</v>
      </c>
      <c r="B67" s="9" t="s">
        <v>51</v>
      </c>
      <c r="C67" s="9" t="s">
        <v>28</v>
      </c>
      <c r="D67" s="9" t="s">
        <v>30</v>
      </c>
      <c r="E67" s="8">
        <v>25</v>
      </c>
      <c r="F67" s="8">
        <v>5</v>
      </c>
      <c r="G67" s="8" t="s">
        <v>52</v>
      </c>
      <c r="H67" s="9"/>
      <c r="I67">
        <f>E67*F67</f>
        <v>125</v>
      </c>
    </row>
    <row r="68" spans="1:9" ht="18.75" customHeight="1" thickBot="1">
      <c r="A68" s="8">
        <v>1017</v>
      </c>
      <c r="B68" s="9" t="s">
        <v>53</v>
      </c>
      <c r="C68" s="9" t="s">
        <v>19</v>
      </c>
      <c r="D68" s="9" t="s">
        <v>33</v>
      </c>
      <c r="E68" s="8">
        <v>20</v>
      </c>
      <c r="F68" s="8">
        <v>8</v>
      </c>
      <c r="G68" s="8" t="s">
        <v>54</v>
      </c>
      <c r="H68" s="9"/>
      <c r="I68">
        <f>E68*F68</f>
        <v>160</v>
      </c>
    </row>
    <row r="69" spans="1:9" ht="18" customHeight="1" thickBot="1">
      <c r="A69" s="8">
        <v>1018</v>
      </c>
      <c r="B69" s="9" t="s">
        <v>55</v>
      </c>
      <c r="C69" s="9" t="s">
        <v>22</v>
      </c>
      <c r="D69" s="9" t="s">
        <v>20</v>
      </c>
      <c r="E69" s="8">
        <v>10</v>
      </c>
      <c r="F69" s="8">
        <v>50</v>
      </c>
      <c r="G69" s="8" t="s">
        <v>56</v>
      </c>
      <c r="H69" s="9"/>
      <c r="I69">
        <f>E69*F69</f>
        <v>500</v>
      </c>
    </row>
    <row r="70" spans="1:9" ht="17.25" customHeight="1" thickBot="1">
      <c r="A70" s="8">
        <v>1019</v>
      </c>
      <c r="B70" s="9" t="s">
        <v>57</v>
      </c>
      <c r="C70" s="9" t="s">
        <v>25</v>
      </c>
      <c r="D70" s="9" t="s">
        <v>23</v>
      </c>
      <c r="E70" s="8">
        <v>15</v>
      </c>
      <c r="F70" s="8">
        <v>10</v>
      </c>
      <c r="G70" s="8" t="s">
        <v>58</v>
      </c>
      <c r="H70" s="9"/>
      <c r="I70">
        <f>E70*F70</f>
        <v>150</v>
      </c>
    </row>
    <row r="71" spans="1:9" ht="15.75" thickBot="1">
      <c r="A71" s="8">
        <v>1020</v>
      </c>
      <c r="B71" s="9" t="s">
        <v>59</v>
      </c>
      <c r="C71" s="9" t="s">
        <v>28</v>
      </c>
      <c r="D71" s="9" t="s">
        <v>26</v>
      </c>
      <c r="E71" s="8">
        <v>18</v>
      </c>
      <c r="F71" s="8">
        <v>25</v>
      </c>
      <c r="G71" s="10">
        <v>45293</v>
      </c>
      <c r="H71" s="9"/>
      <c r="I71">
        <f>E71*F71</f>
        <v>450</v>
      </c>
    </row>
    <row r="72" spans="1:9" ht="18" customHeight="1" thickBot="1">
      <c r="A72" s="8">
        <v>1021</v>
      </c>
      <c r="B72" s="9" t="s">
        <v>60</v>
      </c>
      <c r="C72" s="9" t="s">
        <v>19</v>
      </c>
      <c r="D72" s="9" t="s">
        <v>20</v>
      </c>
      <c r="E72" s="8">
        <v>9</v>
      </c>
      <c r="F72" s="8">
        <v>50</v>
      </c>
      <c r="G72" s="10">
        <v>45324</v>
      </c>
      <c r="H72" s="9"/>
      <c r="I72">
        <f>E72*F72</f>
        <v>450</v>
      </c>
    </row>
    <row r="73" spans="1:9" ht="15.75" thickBot="1">
      <c r="A73" s="8">
        <v>1022</v>
      </c>
      <c r="B73" s="9" t="s">
        <v>61</v>
      </c>
      <c r="C73" s="9" t="s">
        <v>22</v>
      </c>
      <c r="D73" s="9" t="s">
        <v>30</v>
      </c>
      <c r="E73" s="8">
        <v>35</v>
      </c>
      <c r="F73" s="8">
        <v>5</v>
      </c>
      <c r="G73" s="10">
        <v>45353</v>
      </c>
      <c r="H73" s="9"/>
      <c r="I73">
        <f>E73*F73</f>
        <v>175</v>
      </c>
    </row>
    <row r="74" spans="1:9" ht="15.75" thickBot="1">
      <c r="A74" s="8">
        <v>1023</v>
      </c>
      <c r="B74" s="9" t="s">
        <v>62</v>
      </c>
      <c r="C74" s="9" t="s">
        <v>25</v>
      </c>
      <c r="D74" s="9" t="s">
        <v>33</v>
      </c>
      <c r="E74" s="8">
        <v>30</v>
      </c>
      <c r="F74" s="8">
        <v>8</v>
      </c>
      <c r="G74" s="10">
        <v>45384</v>
      </c>
      <c r="H74" s="9"/>
      <c r="I74">
        <f>E74*F74</f>
        <v>240</v>
      </c>
    </row>
    <row r="75" spans="1:9" ht="18" customHeight="1" thickBot="1">
      <c r="A75" s="8">
        <v>1024</v>
      </c>
      <c r="B75" s="9" t="s">
        <v>63</v>
      </c>
      <c r="C75" s="9" t="s">
        <v>28</v>
      </c>
      <c r="D75" s="9" t="s">
        <v>20</v>
      </c>
      <c r="E75" s="8">
        <v>11</v>
      </c>
      <c r="F75" s="8">
        <v>50</v>
      </c>
      <c r="G75" s="10">
        <v>45445</v>
      </c>
      <c r="H75" s="9"/>
      <c r="I75">
        <f>E75*F75</f>
        <v>550</v>
      </c>
    </row>
    <row r="76" spans="1:9" ht="15.75" thickBot="1">
      <c r="A76" s="8">
        <v>1025</v>
      </c>
      <c r="B76" s="9" t="s">
        <v>64</v>
      </c>
      <c r="C76" s="9" t="s">
        <v>19</v>
      </c>
      <c r="D76" s="9" t="s">
        <v>23</v>
      </c>
      <c r="E76" s="8">
        <v>14</v>
      </c>
      <c r="F76" s="8">
        <v>10</v>
      </c>
      <c r="G76" s="10">
        <v>45475</v>
      </c>
      <c r="H76" s="9"/>
      <c r="I76">
        <f>E76*F76</f>
        <v>140</v>
      </c>
    </row>
    <row r="77" spans="1:9" ht="15.75" thickBot="1">
      <c r="A77" s="8">
        <v>1026</v>
      </c>
      <c r="B77" s="9" t="s">
        <v>65</v>
      </c>
      <c r="C77" s="9" t="s">
        <v>22</v>
      </c>
      <c r="D77" s="9" t="s">
        <v>26</v>
      </c>
      <c r="E77" s="8">
        <v>16</v>
      </c>
      <c r="F77" s="8">
        <v>25</v>
      </c>
      <c r="G77" s="10">
        <v>45506</v>
      </c>
      <c r="H77" s="9"/>
      <c r="I77">
        <f>E77*F77</f>
        <v>400</v>
      </c>
    </row>
    <row r="78" spans="1:9" ht="15.75" thickBot="1">
      <c r="A78" s="8">
        <v>1027</v>
      </c>
      <c r="B78" s="9" t="s">
        <v>66</v>
      </c>
      <c r="C78" s="9" t="s">
        <v>25</v>
      </c>
      <c r="D78" s="9" t="s">
        <v>30</v>
      </c>
      <c r="E78" s="8">
        <v>22</v>
      </c>
      <c r="F78" s="8">
        <v>5</v>
      </c>
      <c r="G78" s="10">
        <v>45537</v>
      </c>
      <c r="H78" s="9"/>
      <c r="I78">
        <f>E78*F78</f>
        <v>110</v>
      </c>
    </row>
    <row r="79" spans="1:9" ht="15.75" thickBot="1">
      <c r="A79" s="8">
        <v>1028</v>
      </c>
      <c r="B79" s="9" t="s">
        <v>67</v>
      </c>
      <c r="C79" s="9" t="s">
        <v>28</v>
      </c>
      <c r="D79" s="9" t="s">
        <v>33</v>
      </c>
      <c r="E79" s="8">
        <v>27</v>
      </c>
      <c r="F79" s="8">
        <v>8</v>
      </c>
      <c r="G79" s="10">
        <v>45567</v>
      </c>
      <c r="H79" s="9"/>
      <c r="I79">
        <f>E79*F79</f>
        <v>216</v>
      </c>
    </row>
    <row r="80" spans="1:9" ht="21" customHeight="1" thickBot="1">
      <c r="A80" s="8">
        <v>1029</v>
      </c>
      <c r="B80" s="9" t="s">
        <v>68</v>
      </c>
      <c r="C80" s="9" t="s">
        <v>19</v>
      </c>
      <c r="D80" s="9" t="s">
        <v>20</v>
      </c>
      <c r="E80" s="8">
        <v>13</v>
      </c>
      <c r="F80" s="8">
        <v>50</v>
      </c>
      <c r="G80" s="10">
        <v>45628</v>
      </c>
      <c r="H80" s="9"/>
      <c r="I80">
        <f>E80*F80</f>
        <v>650</v>
      </c>
    </row>
    <row r="81" spans="1:9" ht="15" customHeight="1" thickBot="1">
      <c r="A81" s="8">
        <v>1030</v>
      </c>
      <c r="B81" s="9" t="s">
        <v>69</v>
      </c>
      <c r="C81" s="9" t="s">
        <v>22</v>
      </c>
      <c r="D81" s="9" t="s">
        <v>23</v>
      </c>
      <c r="E81" s="8">
        <v>32</v>
      </c>
      <c r="F81" s="8">
        <v>10</v>
      </c>
      <c r="G81" s="8" t="s">
        <v>70</v>
      </c>
      <c r="H81" s="9"/>
      <c r="I81">
        <f>E81*F81</f>
        <v>320</v>
      </c>
    </row>
    <row r="82" spans="1:9" ht="19.5" customHeight="1" thickBot="1">
      <c r="A82" s="8">
        <v>1031</v>
      </c>
      <c r="B82" s="9" t="s">
        <v>71</v>
      </c>
      <c r="C82" s="9" t="s">
        <v>25</v>
      </c>
      <c r="D82" s="9" t="s">
        <v>26</v>
      </c>
      <c r="E82" s="8">
        <v>10</v>
      </c>
      <c r="F82" s="8">
        <v>25</v>
      </c>
      <c r="G82" s="8" t="s">
        <v>72</v>
      </c>
      <c r="H82" s="9"/>
      <c r="I82">
        <f>E82*F82</f>
        <v>250</v>
      </c>
    </row>
    <row r="83" spans="1:9" ht="19.5" customHeight="1" thickBot="1">
      <c r="A83" s="8">
        <v>1032</v>
      </c>
      <c r="B83" s="9" t="s">
        <v>73</v>
      </c>
      <c r="C83" s="9" t="s">
        <v>28</v>
      </c>
      <c r="D83" s="9" t="s">
        <v>30</v>
      </c>
      <c r="E83" s="8">
        <v>18</v>
      </c>
      <c r="F83" s="8">
        <v>5</v>
      </c>
      <c r="G83" s="8" t="s">
        <v>74</v>
      </c>
      <c r="H83" s="9"/>
      <c r="I83">
        <f>E83*F83</f>
        <v>90</v>
      </c>
    </row>
    <row r="84" spans="1:9" ht="21.75" customHeight="1" thickBot="1">
      <c r="A84" s="8">
        <v>1033</v>
      </c>
      <c r="B84" s="9" t="s">
        <v>75</v>
      </c>
      <c r="C84" s="9" t="s">
        <v>19</v>
      </c>
      <c r="D84" s="9" t="s">
        <v>33</v>
      </c>
      <c r="E84" s="8">
        <v>22</v>
      </c>
      <c r="F84" s="8">
        <v>8</v>
      </c>
      <c r="G84" s="8" t="s">
        <v>76</v>
      </c>
      <c r="H84" s="9"/>
      <c r="I84">
        <f>E84*F84</f>
        <v>176</v>
      </c>
    </row>
    <row r="85" spans="1:9" ht="18.75" customHeight="1" thickBot="1">
      <c r="A85" s="8">
        <v>1034</v>
      </c>
      <c r="B85" s="9" t="s">
        <v>77</v>
      </c>
      <c r="C85" s="9" t="s">
        <v>22</v>
      </c>
      <c r="D85" s="9" t="s">
        <v>20</v>
      </c>
      <c r="E85" s="8">
        <v>17</v>
      </c>
      <c r="F85" s="8">
        <v>50</v>
      </c>
      <c r="G85" s="8" t="s">
        <v>78</v>
      </c>
      <c r="H85" s="9"/>
      <c r="I85">
        <f>E85*F85</f>
        <v>850</v>
      </c>
    </row>
    <row r="86" spans="1:9" ht="18" customHeight="1" thickBot="1">
      <c r="A86" s="8">
        <v>1035</v>
      </c>
      <c r="B86" s="9" t="s">
        <v>79</v>
      </c>
      <c r="C86" s="9" t="s">
        <v>25</v>
      </c>
      <c r="D86" s="9" t="s">
        <v>23</v>
      </c>
      <c r="E86" s="8">
        <v>19</v>
      </c>
      <c r="F86" s="8">
        <v>10</v>
      </c>
      <c r="G86" s="8" t="s">
        <v>80</v>
      </c>
      <c r="H86" s="9"/>
      <c r="I86">
        <f>E86*F86</f>
        <v>190</v>
      </c>
    </row>
    <row r="87" spans="1:9" ht="18" customHeight="1" thickBot="1">
      <c r="A87" s="8">
        <v>1036</v>
      </c>
      <c r="B87" s="9" t="s">
        <v>81</v>
      </c>
      <c r="C87" s="9" t="s">
        <v>28</v>
      </c>
      <c r="D87" s="9" t="s">
        <v>26</v>
      </c>
      <c r="E87" s="8">
        <v>15</v>
      </c>
      <c r="F87" s="8">
        <v>25</v>
      </c>
      <c r="G87" s="8" t="s">
        <v>82</v>
      </c>
      <c r="H87" s="9"/>
      <c r="I87">
        <f>E87*F87</f>
        <v>375</v>
      </c>
    </row>
    <row r="88" spans="1:9" ht="17.25" customHeight="1" thickBot="1">
      <c r="A88" s="8">
        <v>1037</v>
      </c>
      <c r="B88" s="9" t="s">
        <v>83</v>
      </c>
      <c r="C88" s="9" t="s">
        <v>19</v>
      </c>
      <c r="D88" s="9" t="s">
        <v>30</v>
      </c>
      <c r="E88" s="8">
        <v>28</v>
      </c>
      <c r="F88" s="8">
        <v>5</v>
      </c>
      <c r="G88" s="8" t="s">
        <v>84</v>
      </c>
      <c r="H88" s="9"/>
      <c r="I88">
        <f>E88*F88</f>
        <v>140</v>
      </c>
    </row>
    <row r="89" spans="1:9" ht="18.75" customHeight="1" thickBot="1">
      <c r="A89" s="8">
        <v>1038</v>
      </c>
      <c r="B89" s="9" t="s">
        <v>85</v>
      </c>
      <c r="C89" s="9" t="s">
        <v>22</v>
      </c>
      <c r="D89" s="9" t="s">
        <v>33</v>
      </c>
      <c r="E89" s="8">
        <v>24</v>
      </c>
      <c r="F89" s="8">
        <v>8</v>
      </c>
      <c r="G89" s="8" t="s">
        <v>86</v>
      </c>
      <c r="H89" s="9"/>
      <c r="I89">
        <f>E89*F89</f>
        <v>192</v>
      </c>
    </row>
    <row r="90" spans="1:9" ht="18" customHeight="1" thickBot="1">
      <c r="A90" s="8">
        <v>1039</v>
      </c>
      <c r="B90" s="9" t="s">
        <v>87</v>
      </c>
      <c r="C90" s="9" t="s">
        <v>25</v>
      </c>
      <c r="D90" s="9" t="s">
        <v>20</v>
      </c>
      <c r="E90" s="8">
        <v>16</v>
      </c>
      <c r="F90" s="8">
        <v>50</v>
      </c>
      <c r="G90" s="8" t="s">
        <v>88</v>
      </c>
      <c r="H90" s="9"/>
      <c r="I90">
        <f>E90*F90</f>
        <v>800</v>
      </c>
    </row>
    <row r="91" spans="1:9" ht="19.5" customHeight="1" thickBot="1">
      <c r="A91" s="8">
        <v>1040</v>
      </c>
      <c r="B91" s="9" t="s">
        <v>89</v>
      </c>
      <c r="C91" s="9" t="s">
        <v>28</v>
      </c>
      <c r="D91" s="9" t="s">
        <v>23</v>
      </c>
      <c r="E91" s="8">
        <v>27</v>
      </c>
      <c r="F91" s="8">
        <v>10</v>
      </c>
      <c r="G91" s="8" t="s">
        <v>90</v>
      </c>
      <c r="H91" s="9"/>
      <c r="I91">
        <f>E91*F91</f>
        <v>270</v>
      </c>
    </row>
    <row r="92" spans="1:9" ht="15.75" customHeight="1" thickBot="1">
      <c r="A92" s="8">
        <v>1041</v>
      </c>
      <c r="B92" s="9" t="s">
        <v>91</v>
      </c>
      <c r="C92" s="9" t="s">
        <v>19</v>
      </c>
      <c r="D92" s="9" t="s">
        <v>26</v>
      </c>
      <c r="E92" s="8">
        <v>21</v>
      </c>
      <c r="F92" s="8">
        <v>25</v>
      </c>
      <c r="G92" s="8" t="s">
        <v>92</v>
      </c>
      <c r="H92" s="9"/>
      <c r="I92">
        <f>E92*F92</f>
        <v>525</v>
      </c>
    </row>
    <row r="93" spans="1:9" ht="17.25" customHeight="1" thickBot="1">
      <c r="A93" s="8">
        <v>1042</v>
      </c>
      <c r="B93" s="9" t="s">
        <v>93</v>
      </c>
      <c r="C93" s="9" t="s">
        <v>22</v>
      </c>
      <c r="D93" s="9" t="s">
        <v>30</v>
      </c>
      <c r="E93" s="8">
        <v>30</v>
      </c>
      <c r="F93" s="8">
        <v>5</v>
      </c>
      <c r="G93" s="8" t="s">
        <v>94</v>
      </c>
      <c r="H93" s="9"/>
      <c r="I93">
        <f>E93*F93</f>
        <v>150</v>
      </c>
    </row>
    <row r="94" spans="1:9" ht="15.75" thickBot="1">
      <c r="A94" s="8">
        <v>1043</v>
      </c>
      <c r="B94" s="9" t="s">
        <v>95</v>
      </c>
      <c r="C94" s="9" t="s">
        <v>25</v>
      </c>
      <c r="D94" s="9" t="s">
        <v>33</v>
      </c>
      <c r="E94" s="8">
        <v>26</v>
      </c>
      <c r="F94" s="8">
        <v>8</v>
      </c>
      <c r="G94" s="10">
        <v>45294</v>
      </c>
      <c r="H94" s="9"/>
      <c r="I94">
        <f>E94*F94</f>
        <v>208</v>
      </c>
    </row>
    <row r="95" spans="1:9" ht="17.25" customHeight="1" thickBot="1">
      <c r="A95" s="8">
        <v>1044</v>
      </c>
      <c r="B95" s="9" t="s">
        <v>96</v>
      </c>
      <c r="C95" s="9" t="s">
        <v>28</v>
      </c>
      <c r="D95" s="9" t="s">
        <v>20</v>
      </c>
      <c r="E95" s="8">
        <v>14</v>
      </c>
      <c r="F95" s="8">
        <v>50</v>
      </c>
      <c r="G95" s="10">
        <v>45325</v>
      </c>
      <c r="H95" s="9"/>
      <c r="I95">
        <f>E95*F95</f>
        <v>700</v>
      </c>
    </row>
    <row r="96" spans="1:9" ht="15.75" thickBot="1">
      <c r="A96" s="8">
        <v>1045</v>
      </c>
      <c r="B96" s="9" t="s">
        <v>97</v>
      </c>
      <c r="C96" s="9" t="s">
        <v>19</v>
      </c>
      <c r="D96" s="9" t="s">
        <v>23</v>
      </c>
      <c r="E96" s="8">
        <v>20</v>
      </c>
      <c r="F96" s="8">
        <v>10</v>
      </c>
      <c r="G96" s="10">
        <v>45354</v>
      </c>
      <c r="H96" s="9"/>
      <c r="I96">
        <f>E96*F96</f>
        <v>200</v>
      </c>
    </row>
    <row r="97" spans="1:9" ht="15.75" thickBot="1">
      <c r="A97" s="8">
        <v>1046</v>
      </c>
      <c r="B97" s="9" t="s">
        <v>98</v>
      </c>
      <c r="C97" s="9" t="s">
        <v>22</v>
      </c>
      <c r="D97" s="9" t="s">
        <v>26</v>
      </c>
      <c r="E97" s="8">
        <v>17</v>
      </c>
      <c r="F97" s="8">
        <v>25</v>
      </c>
      <c r="G97" s="10">
        <v>45385</v>
      </c>
      <c r="H97" s="9"/>
      <c r="I97">
        <f>E97*F97</f>
        <v>425</v>
      </c>
    </row>
    <row r="98" spans="1:9" ht="15.75" thickBot="1">
      <c r="A98" s="8">
        <v>1047</v>
      </c>
      <c r="B98" s="9" t="s">
        <v>99</v>
      </c>
      <c r="C98" s="9" t="s">
        <v>25</v>
      </c>
      <c r="D98" s="9" t="s">
        <v>30</v>
      </c>
      <c r="E98" s="8">
        <v>19</v>
      </c>
      <c r="F98" s="8">
        <v>5</v>
      </c>
      <c r="G98" s="10">
        <v>45415</v>
      </c>
      <c r="H98" s="9"/>
      <c r="I98">
        <f>E98*F98</f>
        <v>95</v>
      </c>
    </row>
    <row r="99" spans="1:9" ht="15.75" thickBot="1">
      <c r="A99" s="8">
        <v>1048</v>
      </c>
      <c r="B99" s="9" t="s">
        <v>100</v>
      </c>
      <c r="C99" s="9" t="s">
        <v>28</v>
      </c>
      <c r="D99" s="9" t="s">
        <v>33</v>
      </c>
      <c r="E99" s="8">
        <v>32</v>
      </c>
      <c r="F99" s="8">
        <v>8</v>
      </c>
      <c r="G99" s="10">
        <v>45446</v>
      </c>
      <c r="H99" s="9"/>
      <c r="I99">
        <f>E99*F99</f>
        <v>256</v>
      </c>
    </row>
    <row r="100" spans="1:9" ht="16.5" customHeight="1" thickBot="1">
      <c r="A100" s="8">
        <v>1049</v>
      </c>
      <c r="B100" s="9" t="s">
        <v>101</v>
      </c>
      <c r="C100" s="9" t="s">
        <v>19</v>
      </c>
      <c r="D100" s="9" t="s">
        <v>20</v>
      </c>
      <c r="E100" s="8">
        <v>12</v>
      </c>
      <c r="F100" s="8">
        <v>50</v>
      </c>
      <c r="G100" s="10">
        <v>45476</v>
      </c>
      <c r="H100" s="9"/>
      <c r="I100">
        <f>E100*F100</f>
        <v>600</v>
      </c>
    </row>
    <row r="101" spans="1:9" ht="18.75" customHeight="1" thickBot="1">
      <c r="A101" s="8">
        <v>1050</v>
      </c>
      <c r="B101" s="9" t="s">
        <v>102</v>
      </c>
      <c r="C101" s="9" t="s">
        <v>22</v>
      </c>
      <c r="D101" s="9" t="s">
        <v>23</v>
      </c>
      <c r="E101" s="8">
        <v>25</v>
      </c>
      <c r="F101" s="8">
        <v>10</v>
      </c>
      <c r="G101" s="10">
        <v>45507</v>
      </c>
      <c r="H101" s="9"/>
      <c r="I101">
        <f>E101*F101</f>
        <v>250</v>
      </c>
    </row>
    <row r="107" spans="1:9">
      <c r="B107">
        <f>COUNT(A52:A101)</f>
        <v>50</v>
      </c>
    </row>
    <row r="112" spans="1:9">
      <c r="B112">
        <f>SUMPRODUCT((D52:D101="Notebook")*(C52:C101="North")*(I52:I101))</f>
        <v>2900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2025-12-11T06:30:37Z</dcterms:created>
  <dcterms:modified xsi:type="dcterms:W3CDTF">2025-12-11T16:21:38Z</dcterms:modified>
</cp:coreProperties>
</file>